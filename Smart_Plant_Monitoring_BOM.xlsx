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DUBEM\Desktop\PROJECT_CODE\iot-plant-monitoring-system\"/>
    </mc:Choice>
  </mc:AlternateContent>
  <xr:revisionPtr revIDLastSave="0" documentId="13_ncr:1_{446225E4-920D-41D7-A15A-AD4D36CC85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G17" i="1" l="1"/>
  <c r="G19" i="1" s="1"/>
</calcChain>
</file>

<file path=xl/sharedStrings.xml><?xml version="1.0" encoding="utf-8"?>
<sst xmlns="http://schemas.openxmlformats.org/spreadsheetml/2006/main" count="72" uniqueCount="62">
  <si>
    <t>Item No.</t>
  </si>
  <si>
    <t>Component Name</t>
  </si>
  <si>
    <t>Description / Specification</t>
  </si>
  <si>
    <t>Quantity</t>
  </si>
  <si>
    <t>Unit</t>
  </si>
  <si>
    <t>Estimated Unit Cost (₦)</t>
  </si>
  <si>
    <t>Total Cost (₦)</t>
  </si>
  <si>
    <t>Remarks</t>
  </si>
  <si>
    <t>Soil Moisture Sensor</t>
  </si>
  <si>
    <t>Capacitive Soil Moisture Sensor</t>
  </si>
  <si>
    <t>pc</t>
  </si>
  <si>
    <t>For soil moisture detection</t>
  </si>
  <si>
    <t>OLED Display</t>
  </si>
  <si>
    <t>0.96" SSD1306 I2C Display</t>
  </si>
  <si>
    <t>For displaying data (sensor readings)</t>
  </si>
  <si>
    <t>Temperature &amp; Humidity Sensor</t>
  </si>
  <si>
    <t>BME280 (I2C)</t>
  </si>
  <si>
    <t>Monitors environmental conditions</t>
  </si>
  <si>
    <t>Water Pump Tubing</t>
  </si>
  <si>
    <t>6/8mm flexible tube, 2m</t>
  </si>
  <si>
    <t>roll</t>
  </si>
  <si>
    <t>Connects water pump to plant</t>
  </si>
  <si>
    <t>Water Pump</t>
  </si>
  <si>
    <t>5V DC Amphibious Mini Pump</t>
  </si>
  <si>
    <t>Circulates water</t>
  </si>
  <si>
    <t>Charging Module</t>
  </si>
  <si>
    <t>TP4056 Lithium Charger Module (Type C)</t>
  </si>
  <si>
    <t>For charging 18650 batteries</t>
  </si>
  <si>
    <t>Battery</t>
  </si>
  <si>
    <t>18650 Li-ion, 3.7V, 2500mAh</t>
  </si>
  <si>
    <t>pcs</t>
  </si>
  <si>
    <t>Power source</t>
  </si>
  <si>
    <t>Pump Driver</t>
  </si>
  <si>
    <t>DRV8833 Dual Motor Driver</t>
  </si>
  <si>
    <t>Controls water pump via microcontroller</t>
  </si>
  <si>
    <t>Microcontroller</t>
  </si>
  <si>
    <t>ESP32-C6 Board</t>
  </si>
  <si>
    <t>Main controller (Wi-Fi enabled)</t>
  </si>
  <si>
    <t>Female Headers</t>
  </si>
  <si>
    <t>10x10 strip</t>
  </si>
  <si>
    <t>set</t>
  </si>
  <si>
    <t>For module connections</t>
  </si>
  <si>
    <t>Wires</t>
  </si>
  <si>
    <t>22 AWG flexible wires, 5m</t>
  </si>
  <si>
    <t>pack</t>
  </si>
  <si>
    <t>General wiring</t>
  </si>
  <si>
    <t>Veroboard</t>
  </si>
  <si>
    <t>9 x 15 cm prototyping board</t>
  </si>
  <si>
    <t>For circuit assembly</t>
  </si>
  <si>
    <t>Switch</t>
  </si>
  <si>
    <t>Latching power switch</t>
  </si>
  <si>
    <t>Main power control</t>
  </si>
  <si>
    <t>Soldering Lead</t>
  </si>
  <si>
    <t>Tin Wire Melt Rosin Core Soldering Wire</t>
  </si>
  <si>
    <t>For Soldering Components together</t>
  </si>
  <si>
    <t>Total Cost</t>
  </si>
  <si>
    <t xml:space="preserve">Including Discounts </t>
  </si>
  <si>
    <t>Difference</t>
  </si>
  <si>
    <t>Packaging</t>
  </si>
  <si>
    <t>Packaging the product</t>
  </si>
  <si>
    <t>158x90x60mm</t>
  </si>
  <si>
    <t>Created By        Onyilimba Dubemchukwu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</si>
</sst>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 applyProtection="1">
      <alignment horizontal="center" wrapText="1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0" fontId="0" fillId="0" borderId="2" xfId="0" applyBorder="1" applyAlignment="1" applyProtection="1">
      <alignment horizontal="left"/>
      <protection locked="0"/>
    </xf>
    <xf numFmtId="2" fontId="0" fillId="0" borderId="3" xfId="0" applyNumberFormat="1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2" fontId="0" fillId="0" borderId="5" xfId="0" applyNumberForma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left"/>
      <protection locked="0"/>
    </xf>
    <xf numFmtId="2" fontId="0" fillId="0" borderId="7" xfId="0" applyNumberFormat="1" applyBorder="1" applyAlignment="1" applyProtection="1">
      <alignment horizontal="left"/>
      <protection locked="0"/>
    </xf>
  </cellXfs>
  <cellStyles count="1">
    <cellStyle name="Normal" xfId="0" builtinId="0"/>
  </cellStyles>
  <dxfs count="12">
    <dxf>
      <protection locked="0" hidden="0"/>
    </dxf>
    <dxf>
      <protection locked="0" hidden="0"/>
    </dxf>
    <dxf>
      <protection locked="0" hidden="0"/>
    </dxf>
    <dxf>
      <numFmt numFmtId="2" formatCode="0.0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92517-ED91-48C8-BB45-11321B2C3B28}" name="Table1" displayName="Table1" ref="A1:H16" totalsRowShown="0" headerRowDxfId="11" dataDxfId="0" headerRowBorderDxfId="10" tableBorderDxfId="9">
  <autoFilter ref="A1:H16" xr:uid="{CE792517-ED91-48C8-BB45-11321B2C3B28}"/>
  <tableColumns count="8">
    <tableColumn id="1" xr3:uid="{C3F1FC94-66AF-4013-93D4-D408C24C7BDC}" name="Item No." dataDxfId="8"/>
    <tableColumn id="2" xr3:uid="{DAB10B12-8869-40BE-8807-7E60D1666B30}" name="Component Name" dataDxfId="7"/>
    <tableColumn id="3" xr3:uid="{FC5EB45E-923E-4EA8-8455-25B734AE85BB}" name="Description / Specification" dataDxfId="6"/>
    <tableColumn id="4" xr3:uid="{DEB8CE5A-C32F-468F-BE61-D7CADA13A01A}" name="Quantity" dataDxfId="5"/>
    <tableColumn id="5" xr3:uid="{3622F3E9-FAD2-470D-ABE1-593B78875441}" name="Unit" dataDxfId="4"/>
    <tableColumn id="6" xr3:uid="{53A5DC93-AD7F-41A3-B2F6-181C2555D7E7}" name="Estimated Unit Cost (₦)" dataDxfId="3"/>
    <tableColumn id="7" xr3:uid="{6181933F-89E9-4061-AC5A-1F5DC0009828}" name="Total Cost (₦)" dataDxfId="2">
      <calculatedColumnFormula>Table1[[#This Row],[Estimated Unit Cost (₦)]]*Table1[[#This Row],[Quantity]]</calculatedColumnFormula>
    </tableColumn>
    <tableColumn id="8" xr3:uid="{C31847D2-1471-4BDD-9D5B-AEBB6CB59975}" name="Remarks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75" workbookViewId="0">
      <selection activeCell="C23" sqref="C23"/>
    </sheetView>
  </sheetViews>
  <sheetFormatPr defaultRowHeight="15" x14ac:dyDescent="0.25"/>
  <cols>
    <col min="1" max="1" width="11.140625" customWidth="1"/>
    <col min="2" max="2" width="36" customWidth="1"/>
    <col min="3" max="3" width="41.42578125" customWidth="1"/>
    <col min="4" max="4" width="14" customWidth="1"/>
    <col min="5" max="5" width="7" customWidth="1"/>
    <col min="6" max="6" width="23.85546875" customWidth="1"/>
    <col min="7" max="7" width="15.140625" customWidth="1"/>
    <col min="8" max="8" width="3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>
        <v>2</v>
      </c>
      <c r="E2" s="3" t="s">
        <v>10</v>
      </c>
      <c r="F2" s="4">
        <v>2521.2600000000002</v>
      </c>
      <c r="G2" s="4">
        <f>Table1[[#This Row],[Estimated Unit Cost (₦)]]*Table1[[#This Row],[Quantity]]</f>
        <v>5042.5200000000004</v>
      </c>
      <c r="H2" s="3" t="s">
        <v>11</v>
      </c>
    </row>
    <row r="3" spans="1:8" x14ac:dyDescent="0.25">
      <c r="A3" s="3">
        <v>2</v>
      </c>
      <c r="B3" s="3" t="s">
        <v>12</v>
      </c>
      <c r="C3" s="3" t="s">
        <v>13</v>
      </c>
      <c r="D3" s="3">
        <v>1</v>
      </c>
      <c r="E3" s="3" t="s">
        <v>10</v>
      </c>
      <c r="F3" s="4">
        <v>3513.7</v>
      </c>
      <c r="G3" s="4">
        <f>Table1[[#This Row],[Estimated Unit Cost (₦)]]*Table1[[#This Row],[Quantity]]</f>
        <v>3513.7</v>
      </c>
      <c r="H3" s="3" t="s">
        <v>14</v>
      </c>
    </row>
    <row r="4" spans="1:8" x14ac:dyDescent="0.25">
      <c r="A4" s="3">
        <v>3</v>
      </c>
      <c r="B4" s="3" t="s">
        <v>15</v>
      </c>
      <c r="C4" s="3" t="s">
        <v>16</v>
      </c>
      <c r="D4" s="3">
        <v>2</v>
      </c>
      <c r="E4" s="3" t="s">
        <v>10</v>
      </c>
      <c r="F4" s="4">
        <v>5914.66</v>
      </c>
      <c r="G4" s="4">
        <f>Table1[[#This Row],[Estimated Unit Cost (₦)]]*Table1[[#This Row],[Quantity]]</f>
        <v>11829.32</v>
      </c>
      <c r="H4" s="3" t="s">
        <v>17</v>
      </c>
    </row>
    <row r="5" spans="1:8" x14ac:dyDescent="0.25">
      <c r="A5" s="3">
        <v>4</v>
      </c>
      <c r="B5" s="3" t="s">
        <v>18</v>
      </c>
      <c r="C5" s="3" t="s">
        <v>19</v>
      </c>
      <c r="D5" s="3">
        <v>1</v>
      </c>
      <c r="E5" s="3" t="s">
        <v>20</v>
      </c>
      <c r="F5" s="4">
        <v>4160.84</v>
      </c>
      <c r="G5" s="4">
        <f>Table1[[#This Row],[Estimated Unit Cost (₦)]]*Table1[[#This Row],[Quantity]]</f>
        <v>4160.84</v>
      </c>
      <c r="H5" s="3" t="s">
        <v>21</v>
      </c>
    </row>
    <row r="6" spans="1:8" x14ac:dyDescent="0.25">
      <c r="A6" s="3">
        <v>5</v>
      </c>
      <c r="B6" s="3" t="s">
        <v>22</v>
      </c>
      <c r="C6" s="3" t="s">
        <v>23</v>
      </c>
      <c r="D6" s="3">
        <v>1</v>
      </c>
      <c r="E6" s="3" t="s">
        <v>10</v>
      </c>
      <c r="F6" s="4">
        <v>6055.56</v>
      </c>
      <c r="G6" s="4">
        <f>Table1[[#This Row],[Estimated Unit Cost (₦)]]*Table1[[#This Row],[Quantity]]</f>
        <v>6055.56</v>
      </c>
      <c r="H6" s="3" t="s">
        <v>24</v>
      </c>
    </row>
    <row r="7" spans="1:8" x14ac:dyDescent="0.25">
      <c r="A7" s="3">
        <v>6</v>
      </c>
      <c r="B7" s="3" t="s">
        <v>25</v>
      </c>
      <c r="C7" s="3" t="s">
        <v>26</v>
      </c>
      <c r="D7" s="3">
        <v>1</v>
      </c>
      <c r="E7" s="3" t="s">
        <v>10</v>
      </c>
      <c r="F7" s="4">
        <v>4094.12</v>
      </c>
      <c r="G7" s="4">
        <f>Table1[[#This Row],[Estimated Unit Cost (₦)]]*Table1[[#This Row],[Quantity]]</f>
        <v>4094.12</v>
      </c>
      <c r="H7" s="3" t="s">
        <v>27</v>
      </c>
    </row>
    <row r="8" spans="1:8" x14ac:dyDescent="0.25">
      <c r="A8" s="3">
        <v>7</v>
      </c>
      <c r="B8" s="3" t="s">
        <v>28</v>
      </c>
      <c r="C8" s="3" t="s">
        <v>29</v>
      </c>
      <c r="D8" s="3">
        <v>1</v>
      </c>
      <c r="E8" s="3" t="s">
        <v>30</v>
      </c>
      <c r="F8" s="4">
        <v>12153.38</v>
      </c>
      <c r="G8" s="4">
        <f>Table1[[#This Row],[Estimated Unit Cost (₦)]]*Table1[[#This Row],[Quantity]]</f>
        <v>12153.38</v>
      </c>
      <c r="H8" s="3" t="s">
        <v>31</v>
      </c>
    </row>
    <row r="9" spans="1:8" x14ac:dyDescent="0.25">
      <c r="A9" s="3">
        <v>8</v>
      </c>
      <c r="B9" s="3" t="s">
        <v>32</v>
      </c>
      <c r="C9" s="3" t="s">
        <v>33</v>
      </c>
      <c r="D9" s="3">
        <v>1</v>
      </c>
      <c r="E9" s="3" t="s">
        <v>10</v>
      </c>
      <c r="F9" s="4">
        <v>1592.28</v>
      </c>
      <c r="G9" s="4">
        <f>Table1[[#This Row],[Estimated Unit Cost (₦)]]*Table1[[#This Row],[Quantity]]</f>
        <v>1592.28</v>
      </c>
      <c r="H9" s="3" t="s">
        <v>34</v>
      </c>
    </row>
    <row r="10" spans="1:8" x14ac:dyDescent="0.25">
      <c r="A10" s="3">
        <v>9</v>
      </c>
      <c r="B10" s="3" t="s">
        <v>35</v>
      </c>
      <c r="C10" s="3" t="s">
        <v>36</v>
      </c>
      <c r="D10" s="3">
        <v>1</v>
      </c>
      <c r="E10" s="3" t="s">
        <v>10</v>
      </c>
      <c r="F10" s="4">
        <v>6893.96</v>
      </c>
      <c r="G10" s="4">
        <f>Table1[[#This Row],[Estimated Unit Cost (₦)]]*Table1[[#This Row],[Quantity]]</f>
        <v>6893.96</v>
      </c>
      <c r="H10" s="3" t="s">
        <v>37</v>
      </c>
    </row>
    <row r="11" spans="1:8" x14ac:dyDescent="0.25">
      <c r="A11" s="3">
        <v>10</v>
      </c>
      <c r="B11" s="3" t="s">
        <v>38</v>
      </c>
      <c r="C11" s="3" t="s">
        <v>39</v>
      </c>
      <c r="D11" s="3">
        <v>1</v>
      </c>
      <c r="E11" s="3" t="s">
        <v>40</v>
      </c>
      <c r="F11" s="4">
        <v>2299.2600000000002</v>
      </c>
      <c r="G11" s="4">
        <f>Table1[[#This Row],[Estimated Unit Cost (₦)]]*Table1[[#This Row],[Quantity]]</f>
        <v>2299.2600000000002</v>
      </c>
      <c r="H11" s="3" t="s">
        <v>41</v>
      </c>
    </row>
    <row r="12" spans="1:8" x14ac:dyDescent="0.25">
      <c r="A12" s="3">
        <v>11</v>
      </c>
      <c r="B12" s="3" t="s">
        <v>42</v>
      </c>
      <c r="C12" s="3" t="s">
        <v>43</v>
      </c>
      <c r="D12" s="3">
        <v>1</v>
      </c>
      <c r="E12" s="3" t="s">
        <v>44</v>
      </c>
      <c r="F12" s="4">
        <v>4794.63</v>
      </c>
      <c r="G12" s="4">
        <f>Table1[[#This Row],[Estimated Unit Cost (₦)]]*Table1[[#This Row],[Quantity]]</f>
        <v>4794.63</v>
      </c>
      <c r="H12" s="3" t="s">
        <v>45</v>
      </c>
    </row>
    <row r="13" spans="1:8" x14ac:dyDescent="0.25">
      <c r="A13" s="3">
        <v>12</v>
      </c>
      <c r="B13" s="3" t="s">
        <v>46</v>
      </c>
      <c r="C13" s="3" t="s">
        <v>47</v>
      </c>
      <c r="D13" s="3">
        <v>1</v>
      </c>
      <c r="E13" s="3" t="s">
        <v>10</v>
      </c>
      <c r="F13" s="4">
        <v>3615.39</v>
      </c>
      <c r="G13" s="4">
        <f>Table1[[#This Row],[Estimated Unit Cost (₦)]]*Table1[[#This Row],[Quantity]]</f>
        <v>3615.39</v>
      </c>
      <c r="H13" s="3" t="s">
        <v>48</v>
      </c>
    </row>
    <row r="14" spans="1:8" x14ac:dyDescent="0.25">
      <c r="A14" s="3">
        <v>13</v>
      </c>
      <c r="B14" s="3" t="s">
        <v>49</v>
      </c>
      <c r="C14" s="3" t="s">
        <v>50</v>
      </c>
      <c r="D14" s="3">
        <v>1</v>
      </c>
      <c r="E14" s="3" t="s">
        <v>10</v>
      </c>
      <c r="F14" s="4">
        <v>3126.75</v>
      </c>
      <c r="G14" s="4">
        <f>Table1[[#This Row],[Estimated Unit Cost (₦)]]*Table1[[#This Row],[Quantity]]</f>
        <v>3126.75</v>
      </c>
      <c r="H14" s="3" t="s">
        <v>51</v>
      </c>
    </row>
    <row r="15" spans="1:8" x14ac:dyDescent="0.25">
      <c r="A15" s="3">
        <v>14</v>
      </c>
      <c r="B15" s="3" t="s">
        <v>52</v>
      </c>
      <c r="C15" s="3" t="s">
        <v>53</v>
      </c>
      <c r="D15" s="3">
        <v>1</v>
      </c>
      <c r="E15" s="3" t="s">
        <v>20</v>
      </c>
      <c r="F15" s="3">
        <v>17575.14</v>
      </c>
      <c r="G15" s="4">
        <f>Table1[[#This Row],[Estimated Unit Cost (₦)]]*Table1[[#This Row],[Quantity]]</f>
        <v>17575.14</v>
      </c>
      <c r="H15" s="3" t="s">
        <v>54</v>
      </c>
    </row>
    <row r="16" spans="1:8" ht="15.75" thickBot="1" x14ac:dyDescent="0.3">
      <c r="A16" s="3">
        <v>15</v>
      </c>
      <c r="B16" s="3" t="s">
        <v>58</v>
      </c>
      <c r="C16" s="3" t="s">
        <v>60</v>
      </c>
      <c r="D16" s="3">
        <v>1</v>
      </c>
      <c r="E16" s="3" t="s">
        <v>10</v>
      </c>
      <c r="F16" s="4">
        <v>10418.040000000001</v>
      </c>
      <c r="G16" s="3">
        <f>Table1[[#This Row],[Estimated Unit Cost (₦)]]*Table1[[#This Row],[Quantity]]</f>
        <v>10418.040000000001</v>
      </c>
      <c r="H16" s="3" t="s">
        <v>59</v>
      </c>
    </row>
    <row r="17" spans="1:8" x14ac:dyDescent="0.25">
      <c r="A17" s="3"/>
      <c r="B17" s="3"/>
      <c r="C17" s="3"/>
      <c r="D17" s="3"/>
      <c r="E17" s="3"/>
      <c r="F17" s="5" t="s">
        <v>55</v>
      </c>
      <c r="G17" s="6">
        <f>SUM(Table1[Total Cost (₦)])</f>
        <v>97164.890000000014</v>
      </c>
      <c r="H17" s="3"/>
    </row>
    <row r="18" spans="1:8" x14ac:dyDescent="0.25">
      <c r="A18" s="3"/>
      <c r="B18" s="3"/>
      <c r="C18" s="3"/>
      <c r="D18" s="3"/>
      <c r="E18" s="3"/>
      <c r="F18" s="7" t="s">
        <v>56</v>
      </c>
      <c r="G18" s="8">
        <v>89775.42</v>
      </c>
      <c r="H18" s="3"/>
    </row>
    <row r="19" spans="1:8" ht="15.75" thickBot="1" x14ac:dyDescent="0.3">
      <c r="A19" s="3"/>
      <c r="B19" s="3"/>
      <c r="C19" s="3"/>
      <c r="D19" s="3"/>
      <c r="E19" s="3"/>
      <c r="F19" s="9" t="s">
        <v>57</v>
      </c>
      <c r="G19" s="10">
        <f>G17-G18</f>
        <v>7389.4700000000157</v>
      </c>
      <c r="H19" s="3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2" t="s">
        <v>61</v>
      </c>
      <c r="B21" s="2"/>
    </row>
  </sheetData>
  <sheetProtection selectLockedCells="1" selectUnlockedCells="1"/>
  <mergeCells count="1">
    <mergeCell ref="A21:B2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DUBEM</cp:lastModifiedBy>
  <dcterms:created xsi:type="dcterms:W3CDTF">2025-11-06T02:07:45Z</dcterms:created>
  <dcterms:modified xsi:type="dcterms:W3CDTF">2025-11-06T03:05:58Z</dcterms:modified>
</cp:coreProperties>
</file>